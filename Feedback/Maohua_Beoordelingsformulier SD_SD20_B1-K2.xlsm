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xampp\htdocs\TCR_Y3\Examen-opdracht\Feedback\"/>
    </mc:Choice>
  </mc:AlternateContent>
  <xr:revisionPtr revIDLastSave="0" documentId="13_ncr:1_{D6167DAE-4E3F-43FE-BB89-D60C1C4222C1}"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<sst xmlns="http://schemas.openxmlformats.org/spreadsheetml/2006/main" count="330" uniqueCount="154">
  <si>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</si>
  <si>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</si>
  <si>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</si>
  <si>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</si>
  <si>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</si>
  <si>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</si>
  <si>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</si>
  <si>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</si>
  <si>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</si>
  <si>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</si>
  <si>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</si>
  <si>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</si>
  <si>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</si>
  <si>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</si>
  <si>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</si>
  <si>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</si>
  <si>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</si>
  <si>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</si>
  <si>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</si>
  <si>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</si>
  <si>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</si>
  <si>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</si>
  <si>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</si>
  <si>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</si>
  <si>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</si>
  <si>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</si>
  <si>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</si>
  <si>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</si>
  <si>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</si>
  <si>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</si>
  <si>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</si>
  <si>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</si>
  <si>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</si>
  <si>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</si>
  <si>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</si>
  <si>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</si>
  <si>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</si>
  <si>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</si>
  <si>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</si>
  <si>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</si>
  <si>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</si>
  <si>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</si>
  <si>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</si>
  <si>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</si>
  <si>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</si>
  <si>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</si>
  <si>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</si>
  <si>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</si>
  <si>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</si>
  <si>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</si>
  <si>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</si>
  <si>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</si>
  <si>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</si>
  <si>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</si>
  <si>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</si>
  <si>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</si>
  <si>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</si>
  <si>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</si>
  <si>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</si>
  <si>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</si>
  <si>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</si>
  <si>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</si>
  <si>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</si>
  <si>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</si>
  <si>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</si>
  <si>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</si>
  <si>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</si>
  <si>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</si>
  <si>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</si>
  <si>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</si>
  <si>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</si>
  <si>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</si>
  <si>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</si>
  <si>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</si>
  <si>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</si>
  <si>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</si>
  <si>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</si>
  <si>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</si>
  <si>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</si>
  <si>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</si>
  <si>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</si>
  <si>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</si>
  <si>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</si>
  <si>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</si>
  <si>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</si>
  <si>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</si>
  <si>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</si>
  <si>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</si>
  <si>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</si>
  <si>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</si>
  <si>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</si>
  <si>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</si>
  <si>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</si>
  <si>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</si>
  <si>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</si>
  <si>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</si>
  <si>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</si>
  <si>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</si>
  <si>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</si>
  <si>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</si>
  <si>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</si>
  <si>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</si>
  <si>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</si>
  <si>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</si>
  <si>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</si>
  <si>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</si>
  <si>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</si>
  <si>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</si>
  <si>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</si>
  <si>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</si>
  <si>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</si>
  <si>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</si>
  <si>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</si>
  <si>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</si>
  <si>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</si>
  <si>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</si>
  <si>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</si>
  <si>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</si>
  <si>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</si>
  <si>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</si>
  <si>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</si>
  <si>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</si>
  <si>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</si>
  <si>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</si>
  <si>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</si>
  <si>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</si>
  <si>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</si>
  <si>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</si>
  <si>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</si>
  <si>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</si>
  <si>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</si>
  <si>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</si>
  <si>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</si>
  <si>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</si>
  <si>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</si>
  <si>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</si>
  <si>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</si>
  <si>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</si>
  <si>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</si>
  <si>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</si>
  <si>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</si>
  <si>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</si>
  <si>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</si>
  <si>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</si>
  <si>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</si>
  <si>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</si>
  <si>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</si>
  <si>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</si>
  <si>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</si>
  <si>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</si>
  <si>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</si>
  <si>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</si>
  <si>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Maohua Fan</t>
  </si>
  <si>
    <t>3B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</si>
</sst>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checked="Checked"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checked="Checked"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checked="Checked"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checked="Checked"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checked="Checked"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5" workbookViewId="0">
      <selection activeCell="D13" sqref="D13"/>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4" t="s">
        <v>36</v>
      </c>
      <c r="B15" s="105"/>
      <c r="C15" s="106"/>
    </row>
    <row r="16" spans="1:6" ht="14.25" customHeight="1" x14ac:dyDescent="0.3">
      <c r="A16" s="70" t="s">
        <v>37</v>
      </c>
      <c r="B16" s="107">
        <v>45601</v>
      </c>
      <c r="C16" s="108"/>
      <c r="D16" s="71" t="s">
        <v>106</v>
      </c>
    </row>
    <row r="17" spans="1:3" x14ac:dyDescent="0.3">
      <c r="A17" s="70" t="s">
        <v>38</v>
      </c>
      <c r="B17" s="101" t="s">
        <v>152</v>
      </c>
      <c r="C17" s="102"/>
    </row>
    <row r="18" spans="1:3" x14ac:dyDescent="0.3">
      <c r="A18" s="70" t="s">
        <v>39</v>
      </c>
      <c r="B18" s="99">
        <v>9019910</v>
      </c>
      <c r="C18" s="100"/>
    </row>
    <row r="19" spans="1:3" x14ac:dyDescent="0.3">
      <c r="A19" s="70" t="s">
        <v>40</v>
      </c>
      <c r="B19" s="101" t="s">
        <v>153</v>
      </c>
      <c r="C19" s="102"/>
    </row>
    <row r="20" spans="1:3" x14ac:dyDescent="0.3">
      <c r="A20" s="70" t="s">
        <v>107</v>
      </c>
      <c r="B20" s="101"/>
      <c r="C20" s="102"/>
    </row>
    <row r="21" spans="1:3" x14ac:dyDescent="0.3">
      <c r="A21" s="70" t="s">
        <v>108</v>
      </c>
      <c r="B21" s="101" t="s">
        <v>152</v>
      </c>
      <c r="C21" s="102"/>
    </row>
    <row r="22" spans="1:3" ht="15" thickBot="1" x14ac:dyDescent="0.35"/>
    <row r="23" spans="1:3" ht="15" thickBot="1" x14ac:dyDescent="0.35">
      <c r="A23" s="72" t="s">
        <v>26</v>
      </c>
      <c r="B23" s="73" t="s">
        <v>109</v>
      </c>
      <c r="C23" s="103" t="s">
        <v>110</v>
      </c>
    </row>
    <row r="24" spans="1:3" x14ac:dyDescent="0.3">
      <c r="A24" s="70" t="s">
        <v>63</v>
      </c>
      <c r="B24" s="74">
        <f>'B1-K2-W1'!B45</f>
        <v>8.5</v>
      </c>
      <c r="C24" s="103"/>
    </row>
    <row r="25" spans="1:3" x14ac:dyDescent="0.3">
      <c r="A25" s="70" t="s">
        <v>65</v>
      </c>
      <c r="B25" s="74">
        <f>'B1-K2-W2'!B41</f>
        <v>6</v>
      </c>
      <c r="C25" s="103"/>
    </row>
    <row r="26" spans="1:3" x14ac:dyDescent="0.3">
      <c r="A26" s="70" t="s">
        <v>67</v>
      </c>
      <c r="B26" s="74">
        <f>'B1-K2-W3'!B41</f>
        <v>9</v>
      </c>
      <c r="C26" s="103"/>
    </row>
    <row r="27" spans="1:3" x14ac:dyDescent="0.3">
      <c r="A27" s="16"/>
      <c r="B27" s="84"/>
      <c r="C27" s="83"/>
    </row>
    <row r="28" spans="1:3" x14ac:dyDescent="0.3">
      <c r="A28" s="85" t="s">
        <v>111</v>
      </c>
      <c r="B28" s="86" cm="1">
        <f t="array" ref="B28">IF(OR(B24:B26&lt;5.5),1,IF(OR(B24:B26=""),"",(AVERAGE(B24:B26))))</f>
        <v>7.833333333333333</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7" workbookViewId="0">
      <selection activeCell="B50" sqref="B50:G50"/>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45601</v>
      </c>
      <c r="D14" s="9"/>
      <c r="E14" s="9"/>
      <c r="F14" s="9"/>
      <c r="G14" s="13"/>
    </row>
    <row r="15" spans="1:7" ht="22.5" customHeight="1" x14ac:dyDescent="0.3">
      <c r="B15" s="57" t="s">
        <v>38</v>
      </c>
      <c r="C15" s="81" t="str">
        <f>IF(Voorblad!B17="","",Voorblad!B17)</f>
        <v>Maohua Fan</v>
      </c>
      <c r="D15" s="10"/>
      <c r="E15" s="10"/>
      <c r="F15" s="10"/>
      <c r="G15" s="14"/>
    </row>
    <row r="16" spans="1:7" ht="22.5" customHeight="1" x14ac:dyDescent="0.3">
      <c r="B16" s="57" t="s">
        <v>39</v>
      </c>
      <c r="C16" s="82">
        <f>IF(Voorblad!B18="","",Voorblad!B18)</f>
        <v>9019910</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Maohua Fan</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t="b">
        <v>0</v>
      </c>
      <c r="M26" s="58">
        <f>IF(L26=TRUE,3,IF(K26=TRUE,2,IF(J26=TRUE,1,IF(I26=TRUE,0,0))))</f>
        <v>2</v>
      </c>
      <c r="N26" s="58">
        <f>(4-COUNTBLANK(D26:G26))-1</f>
        <v>3</v>
      </c>
      <c r="O26" s="58">
        <f>COUNTA(I26:L26)</f>
        <v>2</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1</v>
      </c>
      <c r="L27" s="58"/>
      <c r="M27" s="58">
        <f>IF(L27=TRUE,3,IF(K27=TRUE,2,IF(J27=TRUE,1,IF(I27=TRUE,0,0))))</f>
        <v>2</v>
      </c>
      <c r="N27" s="58">
        <f>(4-COUNTBLANK(D27:G27))-1</f>
        <v>3</v>
      </c>
      <c r="O27" s="58">
        <f>COUNTA(I27:L27)</f>
        <v>1</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X</v>
      </c>
    </row>
    <row r="43" spans="2:4" x14ac:dyDescent="0.3">
      <c r="B43" s="67">
        <v>11</v>
      </c>
      <c r="C43" s="68">
        <f t="shared" si="0"/>
        <v>9.2999999999999989</v>
      </c>
      <c r="D43" s="60" t="str">
        <f t="shared" si="1"/>
        <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8.5</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24" workbookViewId="0">
      <selection activeCell="G24" sqref="G24"/>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5</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45601</v>
      </c>
      <c r="D14" s="9"/>
      <c r="E14" s="9"/>
      <c r="F14" s="9"/>
      <c r="G14" s="13"/>
    </row>
    <row r="15" spans="1:7" ht="22.5" customHeight="1" x14ac:dyDescent="0.3">
      <c r="B15" s="57" t="s">
        <v>38</v>
      </c>
      <c r="C15" s="81" t="str">
        <f>IF(Voorblad!B17="","",Voorblad!B17)</f>
        <v>Maohua Fan</v>
      </c>
      <c r="D15" s="10"/>
      <c r="E15" s="10"/>
      <c r="F15" s="10"/>
      <c r="G15" s="14"/>
    </row>
    <row r="16" spans="1:7" ht="22.5" customHeight="1" x14ac:dyDescent="0.3">
      <c r="B16" s="57" t="s">
        <v>39</v>
      </c>
      <c r="C16" s="82">
        <f>IF(Voorblad!B18="","",Voorblad!B18)</f>
        <v>9019910</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Maohua Fan</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1</v>
      </c>
      <c r="K24" s="58" t="b">
        <v>0</v>
      </c>
      <c r="L24" s="58" t="b">
        <v>0</v>
      </c>
      <c r="M24" s="58">
        <f>IF(L24=TRUE,3,IF(K24=TRUE,2,IF(J24=TRUE,1,IF(I24=TRUE,0,0))))</f>
        <v>1</v>
      </c>
      <c r="N24" s="58">
        <f>(4-COUNTBLANK(D24:G24))-1</f>
        <v>3</v>
      </c>
      <c r="O24" s="58">
        <f>COUNTA(I24:L24)</f>
        <v>4</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t="b">
        <v>0</v>
      </c>
      <c r="M25" s="58">
        <f>IF(L25=TRUE,3,IF(K25=TRUE,2,IF(J25=TRUE,1,IF(I25=TRUE,0,0))))</f>
        <v>2</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t="b">
        <v>0</v>
      </c>
      <c r="M26" s="58">
        <f>IF(L26=TRUE,3,IF(K26=TRUE,2,IF(J26=TRUE,1,IF(I26=TRUE,0,0))))</f>
        <v>2</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X</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6</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36" workbookViewId="0">
      <selection activeCell="B9" sqref="B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45601</v>
      </c>
      <c r="D14" s="9"/>
      <c r="E14" s="9"/>
      <c r="F14" s="9"/>
      <c r="G14" s="13"/>
    </row>
    <row r="15" spans="1:7" ht="22.5" customHeight="1" x14ac:dyDescent="0.3">
      <c r="B15" s="57" t="s">
        <v>38</v>
      </c>
      <c r="C15" s="81" t="str">
        <f>IF(Voorblad!B17="","",Voorblad!B17)</f>
        <v>Maohua Fan</v>
      </c>
      <c r="D15" s="10"/>
      <c r="E15" s="10"/>
      <c r="F15" s="10"/>
      <c r="G15" s="14"/>
    </row>
    <row r="16" spans="1:7" ht="22.5" customHeight="1" x14ac:dyDescent="0.3">
      <c r="B16" s="57" t="s">
        <v>39</v>
      </c>
      <c r="C16" s="82">
        <f>IF(Voorblad!B18="","",Voorblad!B18)</f>
        <v>9019910</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Maohua Fan</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t="b">
        <v>0</v>
      </c>
      <c r="M25" s="58">
        <f>IF(L25=TRUE,3,IF(K25=TRUE,2,IF(J25=TRUE,1,IF(I25=TRUE,0,0))))</f>
        <v>2</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X</v>
      </c>
    </row>
    <row r="40" spans="2:7" x14ac:dyDescent="0.3">
      <c r="B40" s="67">
        <v>9</v>
      </c>
      <c r="C40" s="68">
        <f t="shared" si="0"/>
        <v>10</v>
      </c>
      <c r="D40" s="60" t="str">
        <f t="shared" si="1"/>
        <v/>
      </c>
    </row>
    <row r="41" spans="2:7" hidden="1" x14ac:dyDescent="0.3">
      <c r="B41" s="67">
        <f>IF(D31="X","",IF(D32="X",C32,IF(D33="X",C33,IF(D34="X",C34,IF(D35="X",C35,IF(D36="X",C36,IF(D37="X",C37,IF(D38="X",C38,IF(D39="X",C39,IF(D40="X",C40,""))))))))))</f>
        <v>9</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990C8-CEE2-405C-885B-A8E238363095}">
  <ds:schemaRefs>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http://www.w3.org/XML/1998/namespace"/>
    <ds:schemaRef ds:uri="http://purl.org/dc/terms/"/>
    <ds:schemaRef ds:uri="d4625914-65fd-4728-8ca6-8dd98b74675a"/>
    <ds:schemaRef ds:uri="cc0bcded-686a-47b8-aa45-f57a8016c0eb"/>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Maohua Fan</cp:lastModifiedBy>
  <cp:revision/>
  <dcterms:created xsi:type="dcterms:W3CDTF">2015-10-30T11:14:52Z</dcterms:created>
  <dcterms:modified xsi:type="dcterms:W3CDTF">2024-11-05T14:38:14Z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