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xampp\htdocs\TCR_Y3\Examen-opdracht\Feedback\"/>
    </mc:Choice>
  </mc:AlternateContent>
  <xr:revisionPtr revIDLastSave="0" documentId="13_ncr:1_{ABFAC879-62A8-44BF-920E-76C9F555B085}"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<sst xmlns="http://schemas.openxmlformats.org/spreadsheetml/2006/main" count="567" uniqueCount="213">
  <si>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</si>
  <si>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</si>
  <si>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</si>
  <si>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</si>
  <si>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</si>
  <si>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</si>
  <si>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</si>
  <si>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</si>
  <si>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</si>
  <si>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</si>
  <si>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</si>
  <si>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</si>
  <si>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</si>
  <si>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</si>
  <si>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</si>
  <si>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</si>
  <si>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</si>
  <si>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</si>
  <si>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</si>
  <si>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</si>
  <si>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</si>
  <si>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</si>
  <si>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</si>
  <si>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</si>
  <si>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</si>
  <si>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</si>
  <si>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</si>
  <si>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</si>
  <si>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</si>
  <si>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</si>
  <si>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</si>
  <si>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</si>
  <si>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</si>
  <si>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</si>
  <si>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</si>
  <si>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</si>
  <si>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</si>
  <si>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</si>
  <si>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</si>
  <si>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</si>
  <si>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</si>
  <si>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</si>
  <si>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</si>
  <si>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</si>
  <si>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</si>
  <si>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</si>
  <si>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</si>
  <si>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</si>
  <si>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</si>
  <si>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</si>
  <si>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</si>
  <si>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</si>
  <si>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</si>
  <si>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</si>
  <si>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</si>
  <si>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</si>
  <si>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</si>
  <si>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</si>
  <si>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</si>
  <si>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</si>
  <si>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</si>
  <si>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</si>
  <si>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</si>
  <si>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</si>
  <si>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</si>
  <si>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</si>
  <si>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</si>
  <si>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</si>
  <si>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</si>
  <si>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</si>
  <si>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</si>
  <si>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</si>
  <si>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</si>
  <si>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</si>
  <si>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</si>
  <si>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</si>
  <si>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</si>
  <si>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</si>
  <si>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</si>
  <si>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</si>
  <si>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</si>
  <si>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</si>
  <si>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</si>
  <si>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</si>
  <si>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</si>
  <si>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</si>
  <si>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</si>
  <si>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</si>
  <si>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</si>
  <si>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</si>
  <si>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</si>
  <si>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</si>
  <si>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</si>
  <si>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</si>
  <si>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</si>
  <si>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</si>
  <si>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</si>
  <si>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</si>
  <si>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</si>
  <si>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</si>
  <si>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</si>
  <si>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</si>
  <si>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</si>
  <si>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</si>
  <si>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</si>
  <si>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</si>
  <si>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</si>
  <si>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</si>
  <si>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</si>
  <si>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</si>
  <si>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</si>
  <si>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</si>
  <si>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</si>
  <si>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</si>
  <si>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</si>
  <si>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</si>
  <si>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</si>
  <si>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</si>
  <si>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</si>
  <si>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</si>
  <si>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</si>
  <si>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</si>
  <si>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</si>
  <si>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</si>
  <si>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</si>
  <si>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</si>
  <si>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</si>
  <si>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</si>
  <si>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</si>
  <si>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</si>
  <si>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</si>
  <si>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</si>
  <si>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</si>
  <si>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</si>
  <si>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</si>
  <si>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</si>
  <si>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</si>
  <si>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</si>
  <si>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</si>
  <si>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</si>
  <si>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</si>
  <si>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</si>
  <si>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</si>
  <si>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</si>
  <si>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</si>
  <si>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</si>
  <si>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</si>
  <si>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</si>
  <si>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</si>
  <si>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</si>
  <si>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</si>
  <si>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</si>
  <si>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</si>
  <si>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</si>
  <si>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</si>
  <si>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</si>
  <si>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</si>
  <si>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</si>
  <si>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</si>
  <si>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</si>
  <si>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</si>
  <si>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</si>
  <si>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</si>
  <si>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</si>
  <si>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</si>
  <si>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</si>
  <si>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</si>
  <si>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</si>
  <si>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</si>
  <si>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</si>
  <si>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</si>
  <si>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</si>
  <si>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</si>
  <si>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</si>
  <si>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</si>
  <si>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</si>
  <si>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</si>
  <si>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</si>
  <si>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</si>
  <si>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</si>
  <si>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</si>
  <si>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</si>
  <si>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</si>
  <si>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</si>
  <si>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</si>
  <si>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</si>
  <si>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</si>
  <si>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</si>
  <si>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</si>
  <si>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</si>
  <si>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</si>
  <si>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</si>
  <si>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</si>
  <si>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</si>
  <si>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</si>
  <si>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</si>
  <si>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</si>
  <si>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</si>
  <si>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</si>
  <si>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</si>
  <si>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</si>
  <si>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</si>
  <si>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</si>
  <si>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</si>
  <si>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</si>
  <si>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</si>
  <si>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</si>
  <si>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</si>
  <si>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</si>
  <si>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</si>
  <si>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</si>
  <si>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Maohua Fan</t>
  </si>
  <si>
    <t>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</si>
</sst>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fmlaLink="'B1-K1-W1'!$I$24" lockText="1" noThreeD="1"/>
</file>

<file path=xl/ctrlProps/ctrlProp7.xml><?xml version="1.0" encoding="utf-8"?>
<formControlPr xmlns="http://schemas.microsoft.com/office/spreadsheetml/2009/9/main" objectType="CheckBox" fmlaLink="'B1-K1-W1'!$J$24" lockText="1" noThreeD="1"/>
</file>

<file path=xl/ctrlProps/ctrlProp8.xml><?xml version="1.0" encoding="utf-8"?>
<formControlPr xmlns="http://schemas.microsoft.com/office/spreadsheetml/2009/9/main" objectType="CheckBox" checked="Checked" fmlaLink="'B1-K1-W1'!$K$24" lockText="1" noThreeD="1"/>
</file>

<file path=xl/ctrlProps/ctrlProp9.xml><?xml version="1.0" encoding="utf-8"?>
<formControlPr xmlns="http://schemas.microsoft.com/office/spreadsheetml/2009/9/main" objectType="CheckBox" fmlaLink="'B1-K1-W1'!$L$24" lockText="1" noThreeD="1"/>
</file>

<file path=xl/ctrlProps/ctrlProp10.xml><?xml version="1.0" encoding="utf-8"?>
<formControlPr xmlns="http://schemas.microsoft.com/office/spreadsheetml/2009/9/main" objectType="CheckBox" fmlaLink="'B1-K1-W1'!$I$25" lockText="1" noThreeD="1"/>
</file>

<file path=xl/ctrlProps/ctrlProp11.xml><?xml version="1.0" encoding="utf-8"?>
<formControlPr xmlns="http://schemas.microsoft.com/office/spreadsheetml/2009/9/main" objectType="CheckBox" fmlaLink="'B1-K1-W1'!$J$25" lockText="1" noThreeD="1"/>
</file>

<file path=xl/ctrlProps/ctrlProp12.xml><?xml version="1.0" encoding="utf-8"?>
<formControlPr xmlns="http://schemas.microsoft.com/office/spreadsheetml/2009/9/main" objectType="CheckBox" checked="Checked" fmlaLink="'B1-K1-W1'!$K$25" lockText="1" noThreeD="1"/>
</file>

<file path=xl/ctrlProps/ctrlProp13.xml><?xml version="1.0" encoding="utf-8"?>
<formControlPr xmlns="http://schemas.microsoft.com/office/spreadsheetml/2009/9/main" objectType="CheckBox" fmlaLink="'B1-K1-W1'!$L$25" lockText="1" noThreeD="1"/>
</file>

<file path=xl/ctrlProps/ctrlProp14.xml><?xml version="1.0" encoding="utf-8"?>
<formControlPr xmlns="http://schemas.microsoft.com/office/spreadsheetml/2009/9/main" objectType="CheckBox" fmlaLink="'B1-K1-W1'!$I$26" lockText="1" noThreeD="1"/>
</file>

<file path=xl/ctrlProps/ctrlProp15.xml><?xml version="1.0" encoding="utf-8"?>
<formControlPr xmlns="http://schemas.microsoft.com/office/spreadsheetml/2009/9/main" objectType="CheckBox" fmlaLink="'B1-K1-W1'!$J$26" lockText="1" noThreeD="1"/>
</file>

<file path=xl/ctrlProps/ctrlProp16.xml><?xml version="1.0" encoding="utf-8"?>
<formControlPr xmlns="http://schemas.microsoft.com/office/spreadsheetml/2009/9/main" objectType="CheckBox" checked="Checked" fmlaLink="'B1-K1-W1'!$K$26" lockText="1" noThreeD="1"/>
</file>

<file path=xl/ctrlProps/ctrlProp17.xml><?xml version="1.0" encoding="utf-8"?>
<formControlPr xmlns="http://schemas.microsoft.com/office/spreadsheetml/2009/9/main" objectType="CheckBox" fmlaLink="'B1-K1-W1'!$L$26" lockText="1" noThreeD="1"/>
</file>

<file path=xl/ctrlProps/ctrlProp18.xml><?xml version="1.0" encoding="utf-8"?>
<formControlPr xmlns="http://schemas.microsoft.com/office/spreadsheetml/2009/9/main" objectType="CheckBox" fmlaLink="'B1-K1-W1'!$I$27" lockText="1" noThreeD="1"/>
</file>

<file path=xl/ctrlProps/ctrlProp19.xml><?xml version="1.0" encoding="utf-8"?>
<formControlPr xmlns="http://schemas.microsoft.com/office/spreadsheetml/2009/9/main" objectType="CheckBox" fmlaLink="'B1-K1-W1'!$J$27" lockText="1" noThreeD="1"/>
</file>

<file path=xl/ctrlProps/ctrlProp20.xml><?xml version="1.0" encoding="utf-8"?>
<formControlPr xmlns="http://schemas.microsoft.com/office/spreadsheetml/2009/9/main" objectType="CheckBox" fmlaLink="'B1-K1-W1'!$K$27" lockText="1" noThreeD="1"/>
</file>

<file path=xl/ctrlProps/ctrlProp21.xml><?xml version="1.0" encoding="utf-8"?>
<formControlPr xmlns="http://schemas.microsoft.com/office/spreadsheetml/2009/9/main" objectType="CheckBox" checked="Checked" fmlaLink="'B1-K1-W1'!$L$27"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checked="Checked"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checked="Checked"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checked="Checked"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checked="Checked"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checked="Checked"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checked="Checked"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checked="Checked"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checked="Checked"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topLeftCell="A14" workbookViewId="0">
      <selection activeCell="D28" sqref="D28"/>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45601</v>
      </c>
      <c r="C16" s="114"/>
      <c r="D16" s="78" t="s">
        <v>136</v>
      </c>
    </row>
    <row r="17" spans="1:4" x14ac:dyDescent="0.3">
      <c r="A17" s="77" t="s">
        <v>38</v>
      </c>
      <c r="B17" s="107" t="s">
        <v>211</v>
      </c>
      <c r="C17" s="108"/>
    </row>
    <row r="18" spans="1:4" x14ac:dyDescent="0.3">
      <c r="A18" s="77" t="s">
        <v>39</v>
      </c>
      <c r="B18" s="115">
        <v>9019910</v>
      </c>
      <c r="C18" s="116"/>
    </row>
    <row r="19" spans="1:4" x14ac:dyDescent="0.3">
      <c r="A19" s="77" t="s">
        <v>40</v>
      </c>
      <c r="B19" s="107" t="s">
        <v>212</v>
      </c>
      <c r="C19" s="108"/>
    </row>
    <row r="20" spans="1:4" x14ac:dyDescent="0.3">
      <c r="A20" s="77" t="s">
        <v>137</v>
      </c>
      <c r="B20" s="107"/>
      <c r="C20" s="108"/>
    </row>
    <row r="21" spans="1:4" x14ac:dyDescent="0.3">
      <c r="A21" s="77" t="s">
        <v>138</v>
      </c>
      <c r="B21" s="107" t="s">
        <v>211</v>
      </c>
      <c r="C21" s="108"/>
    </row>
    <row r="22" spans="1:4" ht="15" thickBot="1" x14ac:dyDescent="0.35"/>
    <row r="23" spans="1:4" ht="15" thickBot="1" x14ac:dyDescent="0.35">
      <c r="A23" s="95" t="s">
        <v>26</v>
      </c>
      <c r="B23" s="94" t="s">
        <v>139</v>
      </c>
      <c r="C23" s="109" t="s">
        <v>140</v>
      </c>
    </row>
    <row r="24" spans="1:4" x14ac:dyDescent="0.3">
      <c r="A24" s="77" t="s">
        <v>63</v>
      </c>
      <c r="B24" s="79">
        <f>'B1-K1-W1'!B45</f>
        <v>7.8</v>
      </c>
      <c r="C24" s="109"/>
    </row>
    <row r="25" spans="1:4" x14ac:dyDescent="0.3">
      <c r="A25" s="77" t="s">
        <v>65</v>
      </c>
      <c r="B25" s="79">
        <f>IF('B1-K1-W2'!E30=TRUE,'B1-K1-W2'!B46,"")</f>
        <v>7</v>
      </c>
      <c r="C25" s="109"/>
    </row>
    <row r="26" spans="1:4" x14ac:dyDescent="0.3">
      <c r="A26" s="77" t="s">
        <v>67</v>
      </c>
      <c r="B26" s="79">
        <f>IF('B1-K1-W3'!E33=TRUE,'B1-K1-W3'!B64,"")</f>
        <v>7</v>
      </c>
      <c r="C26" s="109"/>
    </row>
    <row r="27" spans="1:4" x14ac:dyDescent="0.3">
      <c r="A27" s="77" t="s">
        <v>69</v>
      </c>
      <c r="B27" s="79">
        <f>'B1-K1-W4'!B41</f>
        <v>7</v>
      </c>
      <c r="C27" s="109"/>
    </row>
    <row r="28" spans="1:4" x14ac:dyDescent="0.3">
      <c r="A28" s="77" t="s">
        <v>71</v>
      </c>
      <c r="B28" s="79">
        <f>IF('B1-K1-W5'!E35=TRUE,'B1-K1-W5'!B52,"")</f>
        <v>7.3</v>
      </c>
      <c r="C28" s="109"/>
    </row>
    <row r="29" spans="1:4" x14ac:dyDescent="0.3">
      <c r="A29" s="16"/>
      <c r="B29" s="89"/>
      <c r="C29" s="88"/>
      <c r="D29" s="92"/>
    </row>
    <row r="30" spans="1:4" x14ac:dyDescent="0.3">
      <c r="A30" s="90" t="s">
        <v>141</v>
      </c>
      <c r="B30" s="91" cm="1">
        <f t="array" ref="B30">IF(OR(B24:B28&lt;5.5),1,IF(OR(B24:B28=""),"",(AVERAGE(B24:B28))))</f>
        <v>7.2200000000000006</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48" workbookViewId="0">
      <selection activeCell="B50" sqref="B50:G50"/>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Maohua Fan</v>
      </c>
      <c r="D15" s="10"/>
      <c r="E15" s="10"/>
      <c r="F15" s="10"/>
      <c r="G15" s="14"/>
    </row>
    <row r="16" spans="1:7" ht="22.5" customHeight="1" x14ac:dyDescent="0.3">
      <c r="B16" s="56" t="s">
        <v>39</v>
      </c>
      <c r="C16" s="87">
        <f>IF(Voorblad!B18="","",Voorblad!B18)</f>
        <v>9019910</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Maohua Fan</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1</v>
      </c>
      <c r="L24" s="59"/>
      <c r="M24" s="59">
        <f>IF(L24=TRUE,3,IF(K24=TRUE,2,IF(J24=TRUE,1,IF(I24=TRUE,0,0))))</f>
        <v>2</v>
      </c>
      <c r="N24" s="59">
        <f>(4-COUNTBLANK(D24:G24))-1</f>
        <v>3</v>
      </c>
      <c r="O24" s="59">
        <f>COUNTA(I24:L24)</f>
        <v>1</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X</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7.8</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90" r:id="rId4"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5"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mc:AlternateContent xmlns:mc="http://schemas.openxmlformats.org/markup-compatibility/2006">
          <mc:Choice Requires="x14">
            <control shapeId="54274" r:id="rId6"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7"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8"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9"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10"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11"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2"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3"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4"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5"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6"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7"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8"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9"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20"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21"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26"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Maohua Fan</v>
      </c>
      <c r="D15" s="10"/>
      <c r="E15" s="10"/>
      <c r="F15" s="10"/>
      <c r="G15" s="14"/>
    </row>
    <row r="16" spans="1:7" ht="22.5" customHeight="1" x14ac:dyDescent="0.3">
      <c r="B16" s="56" t="s">
        <v>39</v>
      </c>
      <c r="C16" s="87">
        <f>IF(Voorblad!B18="","",Voorblad!B18)</f>
        <v>9019910</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Maohua Fan</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IF(L24=TRUE,3,IF(K24=TRUE,2,IF(J24=TRUE,1,IF(I24=TRUE,0,0))))</f>
        <v>2</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1</v>
      </c>
      <c r="K26" s="59" t="b">
        <v>0</v>
      </c>
      <c r="L26" s="59"/>
      <c r="M26" s="59">
        <f>IF(L26=TRUE,3,IF(K26=TRUE,2,IF(J26=TRUE,1,IF(I26=TRUE,0,0))))</f>
        <v>1</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29" workbookViewId="0">
      <selection activeCell="Q19" sqref="Q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Maohua Fan</v>
      </c>
      <c r="D15" s="10"/>
      <c r="E15" s="10"/>
      <c r="F15" s="10"/>
      <c r="G15" s="14"/>
    </row>
    <row r="16" spans="1:7" ht="22.5" customHeight="1" x14ac:dyDescent="0.3">
      <c r="B16" s="56" t="s">
        <v>39</v>
      </c>
      <c r="C16" s="87">
        <f>IF(Voorblad!B18="","",Voorblad!B18)</f>
        <v>9019910</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Maohua Fan</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 t="shared" ref="M24:M29" si="0">IF(L24=TRUE,3,IF(K24=TRUE,2,IF(J24=TRUE,1,IF(I24=TRUE,0,0))))</f>
        <v>2</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 t="shared" si="0"/>
        <v>2</v>
      </c>
      <c r="N25" s="59">
        <f t="shared" si="1"/>
        <v>3</v>
      </c>
      <c r="O25" s="59">
        <f t="shared" si="2"/>
        <v>3</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1</v>
      </c>
      <c r="L27" s="59" t="b">
        <v>0</v>
      </c>
      <c r="M27" s="59">
        <f t="shared" si="0"/>
        <v>2</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1</v>
      </c>
      <c r="L29" s="59"/>
      <c r="M29" s="59">
        <f t="shared" si="0"/>
        <v>2</v>
      </c>
      <c r="N29" s="59">
        <f t="shared" si="1"/>
        <v>3</v>
      </c>
      <c r="O29" s="59">
        <f t="shared" si="2"/>
        <v>2</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X</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7</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28"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Maohua Fan</v>
      </c>
      <c r="D15" s="10"/>
      <c r="E15" s="10"/>
      <c r="F15" s="10"/>
      <c r="G15" s="14"/>
    </row>
    <row r="16" spans="1:7" ht="22.5" customHeight="1" x14ac:dyDescent="0.3">
      <c r="B16" s="56" t="s">
        <v>39</v>
      </c>
      <c r="C16" s="87">
        <f>IF(Voorblad!B18="","",Voorblad!B18)</f>
        <v>9019910</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Maohua Fan</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1</v>
      </c>
      <c r="L26" s="59" t="b">
        <v>0</v>
      </c>
      <c r="M26" s="59">
        <f>IF(L26=TRUE,3,IF(K26=TRUE,2,IF(J26=TRUE,1,IF(I26=TRUE,0,0))))</f>
        <v>2</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X</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f>IF(D31="X","",IF(D32="X",C32,IF(D33="X",C33,IF(D34="X",C34,IF(D35="X",C35,IF(D36="X",C36,IF(D37="X",C37,IF(D38="X",C38,IF(D39="X",C39,IF(D40="X",C40,""))))))))))</f>
        <v>7</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33" workbookViewId="0">
      <selection activeCell="W10" sqref="W10"/>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7</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Maohua Fan</v>
      </c>
      <c r="D15" s="10"/>
      <c r="E15" s="10"/>
      <c r="F15" s="10"/>
      <c r="G15" s="14"/>
    </row>
    <row r="16" spans="1:7" ht="22.5" customHeight="1" x14ac:dyDescent="0.3">
      <c r="B16" s="56" t="s">
        <v>39</v>
      </c>
      <c r="C16" s="87">
        <f>IF(Voorblad!B18="","",Voorblad!B18)</f>
        <v>9019910</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Maohua Fan</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c r="M26" s="59">
        <f>IF(L26=TRUE,3,IF(K26=TRUE,2,IF(J26=TRUE,1,IF(I26=TRUE,0,0))))</f>
        <v>2</v>
      </c>
      <c r="N26" s="59">
        <f>(4-COUNTBLANK(D26:G26))-1</f>
        <v>3</v>
      </c>
      <c r="O26" s="59">
        <f>COUNTA(I26:L26)</f>
        <v>1</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X</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7.3</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Maohua Fan</cp:lastModifiedBy>
  <cp:revision/>
  <dcterms:created xsi:type="dcterms:W3CDTF">2015-10-30T11:14:52Z</dcterms:created>
  <dcterms:modified xsi:type="dcterms:W3CDTF">2024-11-05T14:38:23Z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